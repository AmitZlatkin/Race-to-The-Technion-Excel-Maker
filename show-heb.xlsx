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ניקוד" sheetId="1" r:id="rId1"/>
    <sheet name="חידון אישים" sheetId="2" r:id="rId5"/>
    <sheet name="חידות בזק" sheetId="3" r:id="rId6"/>
    <sheet name="חידות בזק 2" sheetId="4" r:id="rId7"/>
    <sheet name="הרכבת מילה" sheetId="5" r:id="rId8"/>
    <sheet name="האודיסיאי המשוגע" sheetId="6" r:id="rId9"/>
    <sheet name="השלמת שירים" sheetId="7" r:id="rId10"/>
    <sheet name="פירמידה אנושית" sheetId="8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<sst xmlns="http://schemas.openxmlformats.org/spreadsheetml/2006/main">
  <si>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</si>
  <si>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קבוצה 1</t>
  </si>
  <si>
    <t>קבוצה 2</t>
  </si>
  <si>
    <t>קבוצה 3</t>
  </si>
  <si>
    <t>קבוצה 4</t>
  </si>
  <si>
    <t>קבוצה 5</t>
  </si>
  <si>
    <t>קבוצה 6</t>
  </si>
  <si>
    <t>קבוצה 7</t>
  </si>
  <si>
    <t>תחנה</t>
  </si>
  <si>
    <t>מיקום</t>
  </si>
  <si>
    <t>סך הכל</t>
  </si>
  <si>
    <t>חידון אישים</t>
  </si>
  <si>
    <t>משרד</t>
  </si>
  <si>
    <t>חידות בזק</t>
  </si>
  <si>
    <t>כימיה</t>
  </si>
  <si>
    <t>חידות בזק 2</t>
  </si>
  <si>
    <t>הרכבת מילה</t>
  </si>
  <si>
    <t>האודיסיאי המשוגע</t>
  </si>
  <si>
    <t>גן אקולוגי</t>
  </si>
  <si>
    <t>השלמת שירים</t>
  </si>
  <si>
    <t>אמדו-סגו</t>
  </si>
  <si>
    <t>פירמידה אנושית</t>
  </si>
  <si>
    <t>הדשא של אסט</t>
  </si>
  <si>
    <t>הליכה יצירתית</t>
  </si>
  <si>
    <t>הספריה המרכזית</t>
  </si>
  <si>
    <t>ריקודים</t>
  </si>
  <si>
    <t>יער קיסלק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</si>
</sst>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2" x14ac:knownFonts="1">
    <font>
      <sz val="12"/>
      <color theme="1"/>
      <name val="Calibri"/>
      <family val="2"/>
      <scheme val="minor"/>
    </font>
    <font>
      <sz val="12"/>
      <color rgb="ffffffff"/>
      <name val="Calibri"/>
      <family val="2"/>
      <scheme val="minor"/>
      <b val="true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fffff"/>
      </patternFill>
    </fill>
    <fill>
      <patternFill patternType="solid">
        <fgColor rgb="fff6f8f9"/>
      </patternFill>
    </fill>
    <fill>
      <patternFill patternType="solid">
        <fgColor rgb="ffffffff"/>
      </patternFill>
    </fill>
    <fill>
      <patternFill patternType="solid">
        <fgColor rgb="fff6f8f9"/>
      </patternFill>
    </fill>
    <fill>
      <patternFill patternType="solid">
        <fgColor rgb="ffffffff"/>
      </patternFill>
    </fill>
    <fill>
      <patternFill patternType="solid">
        <fgColor rgb="fff6f8f9"/>
      </patternFill>
    </fill>
    <fill>
      <patternFill patternType="solid">
        <fgColor rgb="ffffffff"/>
      </patternFill>
    </fill>
    <fill>
      <patternFill patternType="solid">
        <fgColor rgb="fff6f8f9"/>
      </patternFill>
    </fill>
    <fill>
      <patternFill patternType="solid">
        <fgColor rgb="ffffffff"/>
      </patternFill>
    </fill>
    <fill>
      <patternFill patternType="solid">
        <fgColor rgb="fff6f8f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  <xf numFmtId="0" fontId="7" fillId="8" borderId="7" xfId="0"/>
    <xf numFmtId="0" fontId="8" fillId="9" borderId="8" xfId="0"/>
    <xf numFmtId="0" fontId="9" fillId="10" borderId="9" xfId="0"/>
    <xf numFmtId="0" fontId="10" fillId="11" borderId="10" xfId="0"/>
    <xf numFmtId="0" fontId="11" fillId="12" borderId="11" xfId="0"/>
    <xf numFmtId="0" fontId="11" fillId="12" borderId="11" xfId="0">
      <alignment horizontal="centerContinuous" vertic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 s="1">
        <v>8</v>
      </c>
      <c r="B1" t="s" s="1">
        <v>9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</row>
    <row r="2">
      <c r="A2" s="2" t="s">
        <v>11</v>
      </c>
      <c r="B2" s="2" t="s">
        <v>12</v>
      </c>
      <c r="C2" s="2">
        <f>SUM('חידון אישים'!B2:B16)</f>
        <v>0</v>
      </c>
      <c r="D2" s="2">
        <f>SUM('חידון אישים'!C2:C16)</f>
        <v>0</v>
      </c>
      <c r="E2" s="2">
        <f>SUM('חידון אישים'!D2:D16)</f>
        <v>0</v>
      </c>
      <c r="F2" s="2">
        <f>SUM('חידון אישים'!E2:E16)</f>
        <v>0</v>
      </c>
      <c r="G2" s="2">
        <f>SUM('חידון אישים'!F2:F16)</f>
        <v>0</v>
      </c>
      <c r="H2" s="2">
        <f>SUM('חידון אישים'!G2:G16)</f>
        <v>0</v>
      </c>
      <c r="I2" s="2">
        <f>SUM('חידון אישים'!H2:H16)</f>
        <v>0</v>
      </c>
    </row>
    <row r="3">
      <c r="A3" s="3" t="s">
        <v>13</v>
      </c>
      <c r="B3" s="3" t="s">
        <v>14</v>
      </c>
      <c r="C3" s="3">
        <f>2*COUNTIF('חידות בזק'!B2:B12, TRUE())</f>
        <v>0</v>
      </c>
      <c r="D3" s="3">
        <f>2*COUNTIF('חידות בזק'!C2:C12, TRUE())</f>
        <v>0</v>
      </c>
      <c r="E3" s="3">
        <f>2*COUNTIF('חידות בזק'!D2:D12, TRUE())</f>
        <v>0</v>
      </c>
      <c r="F3" s="3">
        <f>2*COUNTIF('חידות בזק'!E2:E12, TRUE())</f>
        <v>0</v>
      </c>
      <c r="G3" s="3">
        <f>2*COUNTIF('חידות בזק'!F2:F12, TRUE())</f>
        <v>0</v>
      </c>
      <c r="H3" s="3">
        <f>2*COUNTIF('חידות בזק'!G2:G12, TRUE())</f>
        <v>0</v>
      </c>
      <c r="I3" s="3">
        <f>2*COUNTIF('חידות בזק'!H2:H12, TRUE())</f>
        <v>0</v>
      </c>
    </row>
    <row r="4">
      <c r="A4" s="4" t="s">
        <v>15</v>
      </c>
      <c r="B4" s="4" t="s">
        <v>14</v>
      </c>
      <c r="C4" s="4">
        <f>SUM('חידות בזק 2'!B2:B3)</f>
        <v>0</v>
      </c>
      <c r="D4" s="4">
        <f>SUM('חידות בזק 2'!C2:C3)</f>
        <v>0</v>
      </c>
      <c r="E4" s="4">
        <f>SUM('חידות בזק 2'!D2:D3)</f>
        <v>0</v>
      </c>
      <c r="F4" s="4">
        <f>SUM('חידות בזק 2'!E2:E3)</f>
        <v>0</v>
      </c>
      <c r="G4" s="4">
        <f>SUM('חידות בזק 2'!F2:F3)</f>
        <v>0</v>
      </c>
      <c r="H4" s="4">
        <f>SUM('חידות בזק 2'!G2:G3)</f>
        <v>0</v>
      </c>
      <c r="I4" s="4">
        <f>SUM('חידות בזק 2'!H2:H3)</f>
        <v>0</v>
      </c>
    </row>
    <row r="5">
      <c r="A5" s="5" t="s">
        <v>16</v>
      </c>
      <c r="B5" s="5" t="s">
        <v>14</v>
      </c>
      <c r="C5" s="5">
        <f>3*COUNTIF('הרכבת מילה'!B2:B12, TRUE())</f>
        <v>0</v>
      </c>
      <c r="D5" s="5">
        <f>3*COUNTIF('הרכבת מילה'!C2:C12, TRUE())</f>
        <v>0</v>
      </c>
      <c r="E5" s="5">
        <f>3*COUNTIF('הרכבת מילה'!D2:D12, TRUE())</f>
        <v>0</v>
      </c>
      <c r="F5" s="5">
        <f>3*COUNTIF('הרכבת מילה'!E2:E12, TRUE())</f>
        <v>0</v>
      </c>
      <c r="G5" s="5">
        <f>3*COUNTIF('הרכבת מילה'!F2:F12, TRUE())</f>
        <v>0</v>
      </c>
      <c r="H5" s="5">
        <f>3*COUNTIF('הרכבת מילה'!G2:G12, TRUE())</f>
        <v>0</v>
      </c>
      <c r="I5" s="5">
        <f>3*COUNTIF('הרכבת מילה'!H2:H12, TRUE())</f>
        <v>0</v>
      </c>
    </row>
    <row r="6">
      <c r="A6" s="6" t="s">
        <v>17</v>
      </c>
      <c r="B6" s="6" t="s">
        <v>18</v>
      </c>
      <c r="C6" s="6">
        <f>5*COUNTIF('האודיסיאי המשוגע'!B2:B16, TRUE())</f>
        <v>0</v>
      </c>
      <c r="D6" s="6">
        <f>5*COUNTIF('האודיסיאי המשוגע'!C2:C16, TRUE())</f>
        <v>0</v>
      </c>
      <c r="E6" s="6">
        <f>5*COUNTIF('האודיסיאי המשוגע'!D2:D16, TRUE())</f>
        <v>0</v>
      </c>
      <c r="F6" s="6">
        <f>5*COUNTIF('האודיסיאי המשוגע'!E2:E16, TRUE())</f>
        <v>0</v>
      </c>
      <c r="G6" s="6">
        <f>5*COUNTIF('האודיסיאי המשוגע'!F2:F16, TRUE())</f>
        <v>0</v>
      </c>
      <c r="H6" s="6">
        <f>5*COUNTIF('האודיסיאי המשוגע'!G2:G16, TRUE())</f>
        <v>0</v>
      </c>
      <c r="I6" s="6">
        <f>5*COUNTIF('האודיסיאי המשוגע'!H2:H16, TRUE())</f>
        <v>0</v>
      </c>
    </row>
    <row r="7">
      <c r="A7" s="7" t="s">
        <v>19</v>
      </c>
      <c r="B7" s="7" t="s">
        <v>20</v>
      </c>
      <c r="C7" s="7">
        <f>1*COUNTIF('השלמת שירים'!B2:B30, TRUE())</f>
        <v>0</v>
      </c>
      <c r="D7" s="7">
        <f>1*COUNTIF('השלמת שירים'!C2:C30, TRUE())</f>
        <v>0</v>
      </c>
      <c r="E7" s="7">
        <f>1*COUNTIF('השלמת שירים'!D2:D30, TRUE())</f>
        <v>0</v>
      </c>
      <c r="F7" s="7">
        <f>1*COUNTIF('השלמת שירים'!E2:E30, TRUE())</f>
        <v>0</v>
      </c>
      <c r="G7" s="7">
        <f>1*COUNTIF('השלמת שירים'!F2:F30, TRUE())</f>
        <v>0</v>
      </c>
      <c r="H7" s="7">
        <f>1*COUNTIF('השלמת שירים'!G2:G30, TRUE())</f>
        <v>0</v>
      </c>
      <c r="I7" s="7">
        <f>1*COUNTIF('השלמת שירים'!H2:H30, TRUE())</f>
        <v>0</v>
      </c>
    </row>
    <row r="8">
      <c r="A8" s="8" t="s">
        <v>21</v>
      </c>
      <c r="B8" s="8" t="s">
        <v>22</v>
      </c>
      <c r="C8" s="8">
        <f>2*COUNTIF('פירמידה אנושית'!B2:B16, TRUE())</f>
        <v>0</v>
      </c>
      <c r="D8" s="8">
        <f>2*COUNTIF('פירמידה אנושית'!C2:C16, TRUE())</f>
        <v>0</v>
      </c>
      <c r="E8" s="8">
        <f>2*COUNTIF('פירמידה אנושית'!D2:D16, TRUE())</f>
        <v>0</v>
      </c>
      <c r="F8" s="8">
        <f>2*COUNTIF('פירמידה אנושית'!E2:E16, TRUE())</f>
        <v>0</v>
      </c>
      <c r="G8" s="8">
        <f>2*COUNTIF('פירמידה אנושית'!F2:F16, TRUE())</f>
        <v>0</v>
      </c>
      <c r="H8" s="8">
        <f>2*COUNTIF('פירמידה אנושית'!G2:G16, TRUE())</f>
        <v>0</v>
      </c>
      <c r="I8" s="8">
        <f>2*COUNTIF('פירמידה אנושית'!H2:H16, TRUE())</f>
        <v>0</v>
      </c>
    </row>
    <row r="9">
      <c r="A9" s="9" t="s">
        <v>23</v>
      </c>
      <c r="B9" s="9" t="s">
        <v>24</v>
      </c>
      <c r="C9" s="9"/>
      <c r="D9" s="9"/>
      <c r="E9" s="9"/>
      <c r="F9" s="9"/>
      <c r="G9" s="9"/>
      <c r="H9" s="9"/>
      <c r="I9" s="9"/>
    </row>
    <row r="10">
      <c r="A10" s="10" t="s">
        <v>25</v>
      </c>
      <c r="B10" s="10" t="s">
        <v>26</v>
      </c>
      <c r="C10" s="10"/>
      <c r="D10" s="10"/>
      <c r="E10" s="10"/>
      <c r="F10" s="10"/>
      <c r="G10" s="10"/>
      <c r="H10" s="10"/>
      <c r="I10" s="10"/>
    </row>
    <row r="11">
      <c r="A11" s="12" t="s">
        <v>10</v>
      </c>
      <c r="B11" s="11"/>
      <c r="C11" s="11">
        <f>SUM(C2:C10)</f>
        <v>0</v>
      </c>
      <c r="D11" s="11">
        <f>SUM(D2:D10)</f>
        <v>0</v>
      </c>
      <c r="E11" s="11">
        <f>SUM(E2:E10)</f>
        <v>0</v>
      </c>
      <c r="F11" s="11">
        <f>SUM(F2:F10)</f>
        <v>0</v>
      </c>
      <c r="G11" s="11">
        <f>SUM(G2:G10)</f>
        <v>0</v>
      </c>
      <c r="H11" s="11">
        <f>SUM(H2:H10)</f>
        <v>0</v>
      </c>
      <c r="I11" s="11">
        <f>SUM(I2:I10)</f>
        <v>0</v>
      </c>
    </row>
  </sheetData>
  <mergeCells count="1">
    <mergeCell ref="A11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B2"/>
      <c r="C2"/>
      <c r="D2"/>
      <c r="E2"/>
      <c r="F2"/>
      <c r="G2"/>
      <c r="H2"/>
    </row>
    <row r="3">
      <c r="B3"/>
      <c r="C3"/>
      <c r="D3"/>
      <c r="E3"/>
      <c r="F3"/>
      <c r="G3"/>
      <c r="H3"/>
    </row>
    <row r="4">
      <c r="B4"/>
      <c r="C4"/>
      <c r="D4"/>
      <c r="E4"/>
      <c r="F4"/>
      <c r="G4"/>
      <c r="H4"/>
    </row>
    <row r="5">
      <c r="B5"/>
      <c r="C5"/>
      <c r="D5"/>
      <c r="E5"/>
      <c r="F5"/>
      <c r="G5"/>
      <c r="H5"/>
    </row>
    <row r="6">
      <c r="B6"/>
      <c r="C6"/>
      <c r="D6"/>
      <c r="E6"/>
      <c r="F6"/>
      <c r="G6"/>
      <c r="H6"/>
    </row>
    <row r="7">
      <c r="B7"/>
      <c r="C7"/>
      <c r="D7"/>
      <c r="E7"/>
      <c r="F7"/>
      <c r="G7"/>
      <c r="H7"/>
    </row>
    <row r="8">
      <c r="B8"/>
      <c r="C8"/>
      <c r="D8"/>
      <c r="E8"/>
      <c r="F8"/>
      <c r="G8"/>
      <c r="H8"/>
    </row>
    <row r="9">
      <c r="B9"/>
      <c r="C9"/>
      <c r="D9"/>
      <c r="E9"/>
      <c r="F9"/>
      <c r="G9"/>
      <c r="H9"/>
    </row>
    <row r="10">
      <c r="B10"/>
      <c r="C10"/>
      <c r="D10"/>
      <c r="E10"/>
      <c r="F10"/>
      <c r="G10"/>
      <c r="H10"/>
    </row>
    <row r="11">
      <c r="B11"/>
      <c r="C11"/>
      <c r="D11"/>
      <c r="E11"/>
      <c r="F11"/>
      <c r="G11"/>
      <c r="H11"/>
    </row>
    <row r="12">
      <c r="B12"/>
      <c r="C12"/>
      <c r="D12"/>
      <c r="E12"/>
      <c r="F12"/>
      <c r="G12"/>
      <c r="H12"/>
    </row>
    <row r="13">
      <c r="B13"/>
      <c r="C13"/>
      <c r="D13"/>
      <c r="E13"/>
      <c r="F13"/>
      <c r="G13"/>
      <c r="H13"/>
    </row>
    <row r="14">
      <c r="B14"/>
      <c r="C14"/>
      <c r="D14"/>
      <c r="E14"/>
      <c r="F14"/>
      <c r="G14"/>
      <c r="H14"/>
    </row>
    <row r="15">
      <c r="B15"/>
      <c r="C15"/>
      <c r="D15"/>
      <c r="E15"/>
      <c r="F15"/>
      <c r="G15"/>
      <c r="H15"/>
    </row>
    <row r="16">
      <c r="B16"/>
      <c r="C16"/>
      <c r="D16"/>
      <c r="E16"/>
      <c r="F16"/>
      <c r="G16"/>
      <c r="H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</row>
    <row r="5"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</row>
    <row r="8"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  <row r="11"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B2"/>
      <c r="C2"/>
      <c r="D2"/>
      <c r="E2"/>
      <c r="F2"/>
      <c r="G2"/>
      <c r="H2"/>
    </row>
    <row r="3">
      <c r="B3"/>
      <c r="C3"/>
      <c r="D3"/>
      <c r="E3"/>
      <c r="F3"/>
      <c r="G3"/>
      <c r="H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</row>
    <row r="5"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</row>
    <row r="8"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  <row r="11"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</row>
    <row r="5"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</row>
    <row r="8"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  <row r="11"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</row>
    <row r="13"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</row>
    <row r="14"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</row>
    <row r="15"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</row>
    <row r="16"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</row>
    <row r="5"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</row>
    <row r="8"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  <row r="11"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</row>
    <row r="13"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</row>
    <row r="14"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</row>
    <row r="15"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</row>
    <row r="16"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</row>
    <row r="17"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</row>
    <row r="18"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</row>
    <row r="19"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</row>
    <row r="20"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</row>
    <row r="21"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</row>
    <row r="22"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</row>
    <row r="23"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</row>
    <row r="24"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</row>
    <row r="25"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</row>
    <row r="26"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</row>
    <row r="27"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</row>
    <row r="28"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</row>
    <row r="29"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</row>
    <row r="30"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</row>
    <row r="5"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</row>
    <row r="8"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  <row r="11"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</row>
    <row r="13"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</row>
    <row r="14"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</row>
    <row r="15"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</row>
    <row r="16"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ניקוד</vt:lpstr>
      <vt:lpstr>חידון אישים</vt:lpstr>
      <vt:lpstr>חידות בזק</vt:lpstr>
      <vt:lpstr>חידות בזק 2</vt:lpstr>
      <vt:lpstr>הרכבת מילה</vt:lpstr>
      <vt:lpstr>האודיסיאי המשוגע</vt:lpstr>
      <vt:lpstr>השלמת שירים</vt:lpstr>
      <vt:lpstr>פירמידה אנושית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